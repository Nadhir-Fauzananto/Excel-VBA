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G:\Dokumen\Bahan Pelajaran\Uni\Coursera\Excel VBA\Part 3\Woche 4\"/>
    </mc:Choice>
  </mc:AlternateContent>
  <xr:revisionPtr revIDLastSave="0" documentId="13_ncr:1_{013EAFA5-6853-42D7-91CD-12AB935EA896}" xr6:coauthVersionLast="47" xr6:coauthVersionMax="47" xr10:uidLastSave="{00000000-0000-0000-0000-000000000000}"/>
  <bookViews>
    <workbookView xWindow="9516" yWindow="240" windowWidth="12288" windowHeight="12720" xr2:uid="{00000000-000D-0000-FFFF-FFFF00000000}"/>
  </bookViews>
  <sheets>
    <sheet name="Main" sheetId="1" r:id="rId1"/>
    <sheet name="Histogram" sheetId="51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<sst xmlns="http://schemas.openxmlformats.org/spreadsheetml/2006/main" count="30" uniqueCount="25">
  <si>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</si>
  <si>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</si>
  <si>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</si>
  <si>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</si>
  <si>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</si>
  <si>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</si>
  <si>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</si>
  <si>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</si>
  <si>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</si>
  <si>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</si>
  <si>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</si>
  <si>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</si>
  <si>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</si>
  <si>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</si>
  <si>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</si>
  <si>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</si>
  <si>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</si>
  <si>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</si>
  <si>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</si>
  <si>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</si>
  <si>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</si>
  <si>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</si>
  <si>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*IMPORTANT: DON'T CHANGE ANYTHING ON THIS SHEET EXCEPT</t>
  </si>
  <si>
    <t>Bin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</si>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</sst>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  <xf numFmtId="0" fontId="0" fillId="2" borderId="4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'Histogram Data'!$A$2:$A$33</c:f>
              <c:numCache>
                <c:formatCode>General</c:formatCode>
                <c:ptCount val="32"/>
                <c:pt idx="0">
                  <c:v>-70</c:v>
                </c:pt>
                <c:pt idx="1">
                  <c:v>-60</c:v>
                </c:pt>
                <c:pt idx="2">
                  <c:v>-55</c:v>
                </c:pt>
                <c:pt idx="3">
                  <c:v>-50</c:v>
                </c:pt>
                <c:pt idx="4">
                  <c:v>-45</c:v>
                </c:pt>
                <c:pt idx="5">
                  <c:v>-40</c:v>
                </c:pt>
                <c:pt idx="6">
                  <c:v>-35</c:v>
                </c:pt>
                <c:pt idx="7">
                  <c:v>-30</c:v>
                </c:pt>
                <c:pt idx="8">
                  <c:v>-25</c:v>
                </c:pt>
                <c:pt idx="9">
                  <c:v>-20</c:v>
                </c:pt>
                <c:pt idx="10">
                  <c:v>-15</c:v>
                </c:pt>
                <c:pt idx="11">
                  <c:v>-10</c:v>
                </c:pt>
                <c:pt idx="12">
                  <c:v>-5</c:v>
                </c:pt>
                <c:pt idx="13">
                  <c:v>1</c:v>
                </c:pt>
                <c:pt idx="14">
                  <c:v>6</c:v>
                </c:pt>
                <c:pt idx="15">
                  <c:v>11</c:v>
                </c:pt>
                <c:pt idx="16">
                  <c:v>16</c:v>
                </c:pt>
                <c:pt idx="17">
                  <c:v>21</c:v>
                </c:pt>
                <c:pt idx="18">
                  <c:v>26</c:v>
                </c:pt>
                <c:pt idx="19">
                  <c:v>31</c:v>
                </c:pt>
                <c:pt idx="20">
                  <c:v>36</c:v>
                </c:pt>
                <c:pt idx="21">
                  <c:v>41</c:v>
                </c:pt>
                <c:pt idx="22">
                  <c:v>46</c:v>
                </c:pt>
                <c:pt idx="23">
                  <c:v>51</c:v>
                </c:pt>
                <c:pt idx="24">
                  <c:v>56</c:v>
                </c:pt>
                <c:pt idx="25">
                  <c:v>61</c:v>
                </c:pt>
                <c:pt idx="26">
                  <c:v>66</c:v>
                </c:pt>
                <c:pt idx="27">
                  <c:v>71</c:v>
                </c:pt>
                <c:pt idx="28">
                  <c:v>76</c:v>
                </c:pt>
                <c:pt idx="29">
                  <c:v>81</c:v>
                </c:pt>
                <c:pt idx="30">
                  <c:v>86</c:v>
                </c:pt>
                <c:pt idx="31">
                  <c:v>91</c:v>
                </c:pt>
              </c:numCache>
            </c:numRef>
          </c:cat>
          <c:val>
            <c:numRef>
              <c:f>'Histogram Data'!$B$2:$B$33</c:f>
              <c:numCache>
                <c:formatCode>General</c:formatCode>
                <c:ptCount val="32"/>
                <c:pt idx="0">
                  <c:v>0</c:v>
                </c:pt>
                <c:pt idx="1">
                  <c:v>4</c:v>
                </c:pt>
                <c:pt idx="2">
                  <c:v>7</c:v>
                </c:pt>
                <c:pt idx="3">
                  <c:v>8</c:v>
                </c:pt>
                <c:pt idx="4">
                  <c:v>19</c:v>
                </c:pt>
                <c:pt idx="5">
                  <c:v>31</c:v>
                </c:pt>
                <c:pt idx="6">
                  <c:v>38</c:v>
                </c:pt>
                <c:pt idx="7">
                  <c:v>65</c:v>
                </c:pt>
                <c:pt idx="8">
                  <c:v>68</c:v>
                </c:pt>
                <c:pt idx="9">
                  <c:v>63</c:v>
                </c:pt>
                <c:pt idx="10">
                  <c:v>86</c:v>
                </c:pt>
                <c:pt idx="11">
                  <c:v>85</c:v>
                </c:pt>
                <c:pt idx="12">
                  <c:v>78</c:v>
                </c:pt>
                <c:pt idx="13">
                  <c:v>107</c:v>
                </c:pt>
                <c:pt idx="14">
                  <c:v>68</c:v>
                </c:pt>
                <c:pt idx="15">
                  <c:v>71</c:v>
                </c:pt>
                <c:pt idx="16">
                  <c:v>39</c:v>
                </c:pt>
                <c:pt idx="17">
                  <c:v>38</c:v>
                </c:pt>
                <c:pt idx="18">
                  <c:v>37</c:v>
                </c:pt>
                <c:pt idx="19">
                  <c:v>27</c:v>
                </c:pt>
                <c:pt idx="20">
                  <c:v>21</c:v>
                </c:pt>
                <c:pt idx="21">
                  <c:v>13</c:v>
                </c:pt>
                <c:pt idx="22">
                  <c:v>10</c:v>
                </c:pt>
                <c:pt idx="23">
                  <c:v>9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4-44C9-83CA-804540784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9281439"/>
        <c:axId val="1019275199"/>
      </c:barChart>
      <c:catAx>
        <c:axId val="1019281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019275199"/>
        <c:crosses val="autoZero"/>
        <c:auto val="1"/>
        <c:lblAlgn val="ctr"/>
        <c:lblOffset val="100"/>
        <c:noMultiLvlLbl val="0"/>
      </c:catAx>
      <c:valAx>
        <c:axId val="101927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019281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150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150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20</xdr:col>
      <xdr:colOff>406400</xdr:colOff>
      <xdr:row>29</xdr:row>
      <xdr:rowOff>142240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D24" sqref="D24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</cols>
  <sheetData>
    <row r="1" spans="1:16" x14ac:dyDescent="0.3">
      <c r="A1" t="s">
        <v>0</v>
      </c>
    </row>
    <row r="2" spans="1:16" ht="15" thickBot="1" x14ac:dyDescent="0.35"/>
    <row r="3" spans="1:16" x14ac:dyDescent="0.3">
      <c r="A3" t="s">
        <v>1</v>
      </c>
      <c r="B3" s="5">
        <v>-5</v>
      </c>
      <c r="D3" t="s">
        <v>2</v>
      </c>
      <c r="E3" s="14">
        <v>45.372496849177587</v>
      </c>
      <c r="G3" t="s">
        <v>3</v>
      </c>
      <c r="H3" s="5">
        <v>-6.7785576777912508</v>
      </c>
    </row>
    <row r="4" spans="1:16" ht="15" thickBot="1" x14ac:dyDescent="0.35">
      <c r="A4" t="s">
        <v>4</v>
      </c>
      <c r="B4" s="6">
        <v>-16.055469686117597</v>
      </c>
      <c r="D4" t="s">
        <v>5</v>
      </c>
      <c r="E4" s="15">
        <v>0.35</v>
      </c>
      <c r="G4" t="s">
        <v>6</v>
      </c>
      <c r="H4" s="7">
        <v>0.11923383176326752</v>
      </c>
    </row>
    <row r="5" spans="1:16" x14ac:dyDescent="0.3">
      <c r="A5" t="s">
        <v>7</v>
      </c>
      <c r="B5" s="8">
        <v>-78.564507144277613</v>
      </c>
      <c r="H5" s="9"/>
    </row>
    <row r="6" spans="1:16" x14ac:dyDescent="0.3">
      <c r="A6" t="s">
        <v>8</v>
      </c>
      <c r="B6" s="8">
        <v>-17.577358722686768</v>
      </c>
      <c r="E6" t="s">
        <v>22</v>
      </c>
      <c r="H6" s="9"/>
    </row>
    <row r="7" spans="1:16" ht="15" thickBot="1" x14ac:dyDescent="0.35">
      <c r="A7" t="s">
        <v>9</v>
      </c>
      <c r="B7" s="13">
        <v>-17.8092399965585</v>
      </c>
      <c r="E7" t="s">
        <v>10</v>
      </c>
      <c r="H7" s="9"/>
    </row>
    <row r="8" spans="1:16" x14ac:dyDescent="0.3">
      <c r="M8" t="s">
        <v>11</v>
      </c>
    </row>
    <row r="9" spans="1:16" x14ac:dyDescent="0.3">
      <c r="A9" t="s">
        <v>12</v>
      </c>
      <c r="B9" t="s">
        <v>7</v>
      </c>
      <c r="C9" t="s">
        <v>8</v>
      </c>
      <c r="D9" t="s">
        <v>1</v>
      </c>
      <c r="E9" t="s">
        <v>13</v>
      </c>
      <c r="F9" t="s">
        <v>14</v>
      </c>
      <c r="G9" t="s">
        <v>15</v>
      </c>
      <c r="H9" t="s">
        <v>16</v>
      </c>
      <c r="I9" t="s">
        <v>2</v>
      </c>
      <c r="J9" t="s">
        <v>3</v>
      </c>
      <c r="K9" t="s">
        <v>17</v>
      </c>
      <c r="L9" t="s">
        <v>18</v>
      </c>
      <c r="M9" t="s">
        <v>19</v>
      </c>
      <c r="N9" t="s">
        <v>20</v>
      </c>
      <c r="P9" t="s">
        <v>21</v>
      </c>
    </row>
    <row r="10" spans="1:16" x14ac:dyDescent="0.3">
      <c r="A10">
        <v>1</v>
      </c>
      <c r="B10" s="10">
        <f>0.5*CTDC</f>
        <v>-39.282253572138806</v>
      </c>
      <c r="C10" s="10"/>
      <c r="D10" s="10">
        <f>Cland</f>
        <v>-5</v>
      </c>
      <c r="E10" s="10"/>
      <c r="F10" s="10"/>
      <c r="G10" s="10"/>
      <c r="H10" s="10"/>
      <c r="I10" s="10"/>
      <c r="J10" s="10"/>
      <c r="L10">
        <f>B10+D10</f>
        <v>-44.282253572138806</v>
      </c>
      <c r="M10" s="10">
        <f t="shared" ref="M10:M24" si="0">L10/(1+i)^(A10-1)</f>
        <v>-44.282253572138806</v>
      </c>
      <c r="N10" s="10">
        <f>M10</f>
        <v>-44.282253572138806</v>
      </c>
    </row>
    <row r="11" spans="1:16" x14ac:dyDescent="0.3">
      <c r="A11">
        <v>2</v>
      </c>
      <c r="B11" s="10">
        <f>0.5*CTDC</f>
        <v>-39.282253572138806</v>
      </c>
      <c r="C11" s="10">
        <f>WC</f>
        <v>-17.577358722686768</v>
      </c>
      <c r="D11" s="10"/>
      <c r="E11" s="10"/>
      <c r="F11" s="10">
        <f>Cstart</f>
        <v>-17.8092399965585</v>
      </c>
      <c r="G11" s="10"/>
      <c r="H11" s="10"/>
      <c r="I11" s="10"/>
      <c r="J11" s="10"/>
      <c r="L11">
        <f>B11+C11+F11</f>
        <v>-74.66885229138407</v>
      </c>
      <c r="M11" s="10">
        <f t="shared" si="0"/>
        <v>-66.714255924295102</v>
      </c>
      <c r="N11" s="10">
        <f>N10+M11</f>
        <v>-110.9965094964339</v>
      </c>
    </row>
    <row r="12" spans="1:16" x14ac:dyDescent="0.3">
      <c r="A12">
        <v>3</v>
      </c>
      <c r="B12" s="10"/>
      <c r="C12" s="10"/>
      <c r="D12" s="10"/>
      <c r="E12" s="10">
        <f t="shared" ref="E12:E24" si="1">Croyal</f>
        <v>-16.055469686117597</v>
      </c>
      <c r="F12" s="10"/>
      <c r="G12" s="10"/>
      <c r="H12" s="10">
        <f>P12*-CTDC</f>
        <v>11.226868070917272</v>
      </c>
      <c r="I12" s="10">
        <f>0.5*S</f>
        <v>22.686248424588793</v>
      </c>
      <c r="J12" s="10">
        <f>0.5*COS</f>
        <v>-3.3892788388956254</v>
      </c>
      <c r="K12" s="10">
        <f>(1-tax)*(I12-J12-H12)</f>
        <v>9.6516284751686445</v>
      </c>
      <c r="L12" s="10">
        <f t="shared" ref="L12:L23" si="2">K12+H12+E12</f>
        <v>4.8230268599683193</v>
      </c>
      <c r="M12" s="10">
        <f t="shared" si="0"/>
        <v>3.8501532986628324</v>
      </c>
      <c r="N12" s="10">
        <f t="shared" ref="N12:N23" si="3">N11+M12</f>
        <v>-107.14635619777107</v>
      </c>
      <c r="P12" s="11">
        <v>0.1429</v>
      </c>
    </row>
    <row r="13" spans="1:16" x14ac:dyDescent="0.3">
      <c r="A13">
        <v>4</v>
      </c>
      <c r="B13" s="10"/>
      <c r="C13" s="10"/>
      <c r="D13" s="10"/>
      <c r="E13" s="10">
        <f t="shared" si="1"/>
        <v>-16.055469686117597</v>
      </c>
      <c r="F13" s="10"/>
      <c r="G13" s="10"/>
      <c r="H13" s="10">
        <f t="shared" ref="H13:H19" si="4">P13*-CTDC</f>
        <v>19.240447799633589</v>
      </c>
      <c r="I13" s="10">
        <f>0.8*S</f>
        <v>36.297997479342072</v>
      </c>
      <c r="J13" s="10">
        <f>0.8*COS</f>
        <v>-5.4228461422330012</v>
      </c>
      <c r="K13" s="10">
        <f t="shared" ref="K13:K24" si="5">(1-tax)*(I13-J13-H13)</f>
        <v>14.612257284261963</v>
      </c>
      <c r="L13" s="10">
        <f t="shared" si="2"/>
        <v>17.797235397777953</v>
      </c>
      <c r="M13" s="10">
        <f t="shared" si="0"/>
        <v>12.693753387336082</v>
      </c>
      <c r="N13" s="10">
        <f t="shared" si="3"/>
        <v>-94.452602810434982</v>
      </c>
      <c r="P13" s="11">
        <v>0.24490000000000001</v>
      </c>
    </row>
    <row r="14" spans="1:16" x14ac:dyDescent="0.3">
      <c r="A14">
        <v>5</v>
      </c>
      <c r="B14" s="10"/>
      <c r="C14" s="10"/>
      <c r="D14" s="10"/>
      <c r="E14" s="10">
        <f t="shared" si="1"/>
        <v>-16.055469686117597</v>
      </c>
      <c r="F14" s="10"/>
      <c r="G14" s="10"/>
      <c r="H14" s="10">
        <f t="shared" si="4"/>
        <v>13.740932299534155</v>
      </c>
      <c r="I14" s="10">
        <f t="shared" ref="I14:I24" si="6">S</f>
        <v>45.372496849177587</v>
      </c>
      <c r="J14" s="10">
        <f t="shared" ref="J14:J24" si="7">COS</f>
        <v>-6.7785576777912508</v>
      </c>
      <c r="K14" s="10">
        <f t="shared" si="5"/>
        <v>24.966579447832544</v>
      </c>
      <c r="L14" s="10">
        <f t="shared" si="2"/>
        <v>22.652042061249098</v>
      </c>
      <c r="M14" s="10">
        <f t="shared" si="0"/>
        <v>14.43524109881254</v>
      </c>
      <c r="N14" s="10">
        <f t="shared" si="3"/>
        <v>-80.017361711622442</v>
      </c>
      <c r="P14" s="11">
        <v>0.1749</v>
      </c>
    </row>
    <row r="15" spans="1:16" x14ac:dyDescent="0.3">
      <c r="A15">
        <v>6</v>
      </c>
      <c r="B15" s="10"/>
      <c r="C15" s="10"/>
      <c r="D15" s="10"/>
      <c r="E15" s="10">
        <f t="shared" si="1"/>
        <v>-16.055469686117597</v>
      </c>
      <c r="F15" s="10"/>
      <c r="G15" s="10"/>
      <c r="H15" s="10">
        <f t="shared" si="4"/>
        <v>9.8127069423202737</v>
      </c>
      <c r="I15" s="10">
        <f t="shared" si="6"/>
        <v>45.372496849177587</v>
      </c>
      <c r="J15" s="10">
        <f t="shared" si="7"/>
        <v>-6.7785576777912508</v>
      </c>
      <c r="K15" s="10">
        <f t="shared" si="5"/>
        <v>27.519925930021564</v>
      </c>
      <c r="L15" s="10">
        <f t="shared" si="2"/>
        <v>21.277163186224243</v>
      </c>
      <c r="M15" s="10">
        <f t="shared" si="0"/>
        <v>12.114613903800835</v>
      </c>
      <c r="N15" s="10">
        <f t="shared" si="3"/>
        <v>-67.902747807821612</v>
      </c>
      <c r="P15" s="11">
        <v>0.1249</v>
      </c>
    </row>
    <row r="16" spans="1:16" x14ac:dyDescent="0.3">
      <c r="A16">
        <v>7</v>
      </c>
      <c r="B16" s="10"/>
      <c r="C16" s="10"/>
      <c r="D16" s="10"/>
      <c r="E16" s="10">
        <f t="shared" si="1"/>
        <v>-16.055469686117597</v>
      </c>
      <c r="F16" s="10"/>
      <c r="G16" s="10"/>
      <c r="H16" s="10">
        <f t="shared" si="4"/>
        <v>7.0158104879839911</v>
      </c>
      <c r="I16" s="10">
        <f t="shared" si="6"/>
        <v>45.372496849177587</v>
      </c>
      <c r="J16" s="10">
        <f t="shared" si="7"/>
        <v>-6.7785576777912508</v>
      </c>
      <c r="K16" s="10">
        <f t="shared" si="5"/>
        <v>29.337908625340148</v>
      </c>
      <c r="L16" s="10">
        <f t="shared" si="2"/>
        <v>20.298249427206542</v>
      </c>
      <c r="M16" s="10">
        <f t="shared" si="0"/>
        <v>10.326035378439318</v>
      </c>
      <c r="N16" s="10">
        <f t="shared" si="3"/>
        <v>-57.576712429382297</v>
      </c>
      <c r="P16" s="11">
        <v>8.9300000000000004E-2</v>
      </c>
    </row>
    <row r="17" spans="1:16" x14ac:dyDescent="0.3">
      <c r="A17">
        <v>8</v>
      </c>
      <c r="B17" s="10"/>
      <c r="C17" s="10"/>
      <c r="D17" s="10"/>
      <c r="E17" s="10">
        <f t="shared" si="1"/>
        <v>-16.055469686117597</v>
      </c>
      <c r="F17" s="10"/>
      <c r="G17" s="10"/>
      <c r="H17" s="10">
        <f t="shared" si="4"/>
        <v>7.0079540372695632</v>
      </c>
      <c r="I17" s="10">
        <f t="shared" si="6"/>
        <v>45.372496849177587</v>
      </c>
      <c r="J17" s="10">
        <f t="shared" si="7"/>
        <v>-6.7785576777912508</v>
      </c>
      <c r="K17" s="10">
        <f t="shared" si="5"/>
        <v>29.343015318304527</v>
      </c>
      <c r="L17" s="10">
        <f t="shared" si="2"/>
        <v>20.295499669456497</v>
      </c>
      <c r="M17" s="10">
        <f t="shared" si="0"/>
        <v>9.2247359227987573</v>
      </c>
      <c r="N17" s="10">
        <f t="shared" si="3"/>
        <v>-48.35197650658354</v>
      </c>
      <c r="P17" s="11">
        <v>8.9200000000000002E-2</v>
      </c>
    </row>
    <row r="18" spans="1:16" x14ac:dyDescent="0.3">
      <c r="A18">
        <v>9</v>
      </c>
      <c r="B18" s="10"/>
      <c r="C18" s="10"/>
      <c r="D18" s="10"/>
      <c r="E18" s="10">
        <f t="shared" si="1"/>
        <v>-16.055469686117597</v>
      </c>
      <c r="F18" s="10"/>
      <c r="G18" s="10"/>
      <c r="H18" s="10">
        <f t="shared" si="4"/>
        <v>7.0158104879839911</v>
      </c>
      <c r="I18" s="10">
        <f t="shared" si="6"/>
        <v>45.372496849177587</v>
      </c>
      <c r="J18" s="10">
        <f t="shared" si="7"/>
        <v>-6.7785576777912508</v>
      </c>
      <c r="K18" s="10">
        <f t="shared" si="5"/>
        <v>29.337908625340148</v>
      </c>
      <c r="L18" s="10">
        <f t="shared" si="2"/>
        <v>20.298249427206542</v>
      </c>
      <c r="M18" s="10">
        <f t="shared" si="0"/>
        <v>8.243126221086067</v>
      </c>
      <c r="N18" s="10">
        <f t="shared" si="3"/>
        <v>-40.108850285497475</v>
      </c>
      <c r="P18" s="11">
        <v>8.9300000000000004E-2</v>
      </c>
    </row>
    <row r="19" spans="1:16" x14ac:dyDescent="0.3">
      <c r="A19">
        <v>10</v>
      </c>
      <c r="B19" s="10"/>
      <c r="C19" s="10"/>
      <c r="D19" s="10"/>
      <c r="E19" s="10">
        <f t="shared" si="1"/>
        <v>-16.055469686117597</v>
      </c>
      <c r="F19" s="10"/>
      <c r="G19" s="10"/>
      <c r="H19" s="10">
        <f t="shared" si="4"/>
        <v>3.5039770186347816</v>
      </c>
      <c r="I19" s="10">
        <f t="shared" si="6"/>
        <v>45.372496849177587</v>
      </c>
      <c r="J19" s="10">
        <f t="shared" si="7"/>
        <v>-6.7785576777912508</v>
      </c>
      <c r="K19" s="10">
        <f t="shared" si="5"/>
        <v>31.620600380417134</v>
      </c>
      <c r="L19" s="10">
        <f t="shared" si="2"/>
        <v>19.069107712934318</v>
      </c>
      <c r="M19" s="10">
        <f t="shared" si="0"/>
        <v>6.9189932608169995</v>
      </c>
      <c r="N19" s="10">
        <f t="shared" si="3"/>
        <v>-33.189857024680478</v>
      </c>
      <c r="P19" s="11">
        <v>4.4600000000000001E-2</v>
      </c>
    </row>
    <row r="20" spans="1:16" x14ac:dyDescent="0.3">
      <c r="A20">
        <v>11</v>
      </c>
      <c r="B20" s="10"/>
      <c r="C20" s="10"/>
      <c r="D20" s="10"/>
      <c r="E20" s="10">
        <f t="shared" si="1"/>
        <v>-16.055469686117597</v>
      </c>
      <c r="F20" s="10"/>
      <c r="G20" s="10"/>
      <c r="H20" s="10"/>
      <c r="I20" s="10">
        <f t="shared" si="6"/>
        <v>45.372496849177587</v>
      </c>
      <c r="J20" s="10">
        <f t="shared" si="7"/>
        <v>-6.7785576777912508</v>
      </c>
      <c r="K20" s="10">
        <f t="shared" si="5"/>
        <v>33.898185442529744</v>
      </c>
      <c r="L20" s="10">
        <f t="shared" si="2"/>
        <v>17.842715756412147</v>
      </c>
      <c r="M20" s="10">
        <f t="shared" si="0"/>
        <v>5.7843246931013841</v>
      </c>
      <c r="N20" s="10">
        <f t="shared" si="3"/>
        <v>-27.405532331579096</v>
      </c>
    </row>
    <row r="21" spans="1:16" x14ac:dyDescent="0.3">
      <c r="A21">
        <v>12</v>
      </c>
      <c r="B21" s="10"/>
      <c r="C21" s="10"/>
      <c r="D21" s="10"/>
      <c r="E21" s="10">
        <f t="shared" si="1"/>
        <v>-16.055469686117597</v>
      </c>
      <c r="F21" s="10"/>
      <c r="G21" s="10"/>
      <c r="H21" s="10"/>
      <c r="I21" s="10">
        <f t="shared" si="6"/>
        <v>45.372496849177587</v>
      </c>
      <c r="J21" s="10">
        <f t="shared" si="7"/>
        <v>-6.7785576777912508</v>
      </c>
      <c r="K21" s="10">
        <f t="shared" si="5"/>
        <v>33.898185442529744</v>
      </c>
      <c r="L21" s="10">
        <f t="shared" si="2"/>
        <v>17.842715756412147</v>
      </c>
      <c r="M21" s="10">
        <f t="shared" si="0"/>
        <v>5.1681110139322914</v>
      </c>
      <c r="N21" s="10">
        <f t="shared" si="3"/>
        <v>-22.237421317646806</v>
      </c>
    </row>
    <row r="22" spans="1:16" x14ac:dyDescent="0.3">
      <c r="A22">
        <v>13</v>
      </c>
      <c r="B22" s="10"/>
      <c r="C22" s="10"/>
      <c r="D22" s="10"/>
      <c r="E22" s="10">
        <f t="shared" si="1"/>
        <v>-16.055469686117597</v>
      </c>
      <c r="F22" s="10"/>
      <c r="G22" s="10"/>
      <c r="H22" s="10"/>
      <c r="I22" s="10">
        <f t="shared" si="6"/>
        <v>45.372496849177587</v>
      </c>
      <c r="J22" s="10">
        <f t="shared" si="7"/>
        <v>-6.7785576777912508</v>
      </c>
      <c r="K22" s="10">
        <f t="shared" si="5"/>
        <v>33.898185442529744</v>
      </c>
      <c r="L22" s="10">
        <f t="shared" si="2"/>
        <v>17.842715756412147</v>
      </c>
      <c r="M22" s="10">
        <f t="shared" si="0"/>
        <v>4.6175435974717871</v>
      </c>
      <c r="N22" s="10">
        <f t="shared" si="3"/>
        <v>-17.619877720175019</v>
      </c>
    </row>
    <row r="23" spans="1:16" ht="15" thickBot="1" x14ac:dyDescent="0.35">
      <c r="A23">
        <v>14</v>
      </c>
      <c r="B23" s="10"/>
      <c r="C23" s="10"/>
      <c r="D23" s="10"/>
      <c r="E23" s="10">
        <f t="shared" si="1"/>
        <v>-16.055469686117597</v>
      </c>
      <c r="F23" s="10"/>
      <c r="G23" s="10"/>
      <c r="H23" s="10"/>
      <c r="I23" s="10">
        <f t="shared" si="6"/>
        <v>45.372496849177587</v>
      </c>
      <c r="J23" s="10">
        <f t="shared" si="7"/>
        <v>-6.7785576777912508</v>
      </c>
      <c r="K23" s="10">
        <f t="shared" si="5"/>
        <v>33.898185442529744</v>
      </c>
      <c r="L23" s="10">
        <f t="shared" si="2"/>
        <v>17.842715756412147</v>
      </c>
      <c r="M23" s="10">
        <f t="shared" si="0"/>
        <v>4.125629038748051</v>
      </c>
      <c r="N23" s="10">
        <f t="shared" si="3"/>
        <v>-13.494248681426967</v>
      </c>
    </row>
    <row r="24" spans="1:16" ht="15" thickBot="1" x14ac:dyDescent="0.35">
      <c r="A24">
        <v>15</v>
      </c>
      <c r="B24" s="10"/>
      <c r="C24" s="10">
        <f>-WC</f>
        <v>17.577358722686768</v>
      </c>
      <c r="D24" s="10"/>
      <c r="E24" s="10">
        <f t="shared" si="1"/>
        <v>-16.055469686117597</v>
      </c>
      <c r="F24" s="10"/>
      <c r="G24" s="10"/>
      <c r="H24" s="10"/>
      <c r="I24" s="10">
        <f t="shared" si="6"/>
        <v>45.372496849177587</v>
      </c>
      <c r="J24" s="10">
        <f t="shared" si="7"/>
        <v>-6.7785576777912508</v>
      </c>
      <c r="K24" s="10">
        <f t="shared" si="5"/>
        <v>33.898185442529744</v>
      </c>
      <c r="L24" s="10">
        <f>C24+K24+G24+E24</f>
        <v>35.420074479098915</v>
      </c>
      <c r="M24" s="10">
        <f t="shared" si="0"/>
        <v>7.3174179084441731</v>
      </c>
      <c r="N24" s="12">
        <f>N23+M24</f>
        <v>-6.176830772982794</v>
      </c>
    </row>
    <row r="25" spans="1:16" x14ac:dyDescent="0.3">
      <c r="C25" s="3"/>
      <c r="D25" s="2"/>
      <c r="E25" s="4"/>
      <c r="F25" s="2"/>
      <c r="G25" s="1"/>
      <c r="H25" s="1"/>
    </row>
    <row r="26" spans="1:16" x14ac:dyDescent="0.3">
      <c r="C26" s="3"/>
      <c r="D26" s="2"/>
      <c r="E26" s="4"/>
      <c r="F26" s="2"/>
      <c r="G26" s="1"/>
      <c r="H26" s="1"/>
    </row>
    <row r="27" spans="1:16" x14ac:dyDescent="0.3">
      <c r="C27" s="3"/>
      <c r="D27" s="2"/>
      <c r="E27" s="4"/>
      <c r="F27" s="2"/>
      <c r="G27" s="1"/>
      <c r="H27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2</xdr:col>
                    <xdr:colOff>891540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24F9A-EFCC-49FA-A40F-2FD922732EB2}">
  <sheetPr codeName="Sheet3"/>
  <dimension ref="A1"/>
  <sheetViews>
    <sheetView showGridLines="0" showRowColHeaders="0" workbookViewId="0">
      <selection activeCell="E3" sqref="E3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33"/>
  <sheetViews>
    <sheetView workbookViewId="0">
      <selection activeCell="G18" sqref="G18"/>
    </sheetView>
  </sheetViews>
  <sheetFormatPr defaultRowHeight="14.4" x14ac:dyDescent="0.3"/>
  <sheetData>
    <row r="1" spans="1:2" x14ac:dyDescent="0.3">
      <c r="A1" t="s">
        <v>23</v>
      </c>
      <c r="B1" t="s">
        <v>24</v>
      </c>
    </row>
    <row r="2" spans="1:2" x14ac:dyDescent="0.3">
      <c r="A2">
        <v>-70</v>
      </c>
      <c r="B2">
        <v>0</v>
      </c>
    </row>
    <row r="3" spans="1:2" x14ac:dyDescent="0.3">
      <c r="A3">
        <v>-60</v>
      </c>
      <c r="B3">
        <v>4</v>
      </c>
    </row>
    <row r="4" spans="1:2" x14ac:dyDescent="0.3">
      <c r="A4">
        <v>-55</v>
      </c>
      <c r="B4">
        <v>7</v>
      </c>
    </row>
    <row r="5" spans="1:2" x14ac:dyDescent="0.3">
      <c r="A5">
        <v>-50</v>
      </c>
      <c r="B5">
        <v>8</v>
      </c>
    </row>
    <row r="6" spans="1:2" x14ac:dyDescent="0.3">
      <c r="A6">
        <v>-45</v>
      </c>
      <c r="B6">
        <v>19</v>
      </c>
    </row>
    <row r="7" spans="1:2" x14ac:dyDescent="0.3">
      <c r="A7">
        <v>-40</v>
      </c>
      <c r="B7">
        <v>31</v>
      </c>
    </row>
    <row r="8" spans="1:2" x14ac:dyDescent="0.3">
      <c r="A8">
        <v>-35</v>
      </c>
      <c r="B8">
        <v>38</v>
      </c>
    </row>
    <row r="9" spans="1:2" x14ac:dyDescent="0.3">
      <c r="A9">
        <v>-30</v>
      </c>
      <c r="B9">
        <v>65</v>
      </c>
    </row>
    <row r="10" spans="1:2" x14ac:dyDescent="0.3">
      <c r="A10">
        <v>-25</v>
      </c>
      <c r="B10">
        <v>68</v>
      </c>
    </row>
    <row r="11" spans="1:2" x14ac:dyDescent="0.3">
      <c r="A11">
        <v>-20</v>
      </c>
      <c r="B11">
        <v>63</v>
      </c>
    </row>
    <row r="12" spans="1:2" x14ac:dyDescent="0.3">
      <c r="A12">
        <v>-15</v>
      </c>
      <c r="B12">
        <v>86</v>
      </c>
    </row>
    <row r="13" spans="1:2" x14ac:dyDescent="0.3">
      <c r="A13">
        <v>-10</v>
      </c>
      <c r="B13">
        <v>85</v>
      </c>
    </row>
    <row r="14" spans="1:2" x14ac:dyDescent="0.3">
      <c r="A14">
        <v>-5</v>
      </c>
      <c r="B14">
        <v>78</v>
      </c>
    </row>
    <row r="15" spans="1:2" x14ac:dyDescent="0.3">
      <c r="A15">
        <v>1</v>
      </c>
      <c r="B15">
        <v>107</v>
      </c>
    </row>
    <row r="16" spans="1:2" x14ac:dyDescent="0.3">
      <c r="A16">
        <v>6</v>
      </c>
      <c r="B16">
        <v>68</v>
      </c>
    </row>
    <row r="17" spans="1:2" x14ac:dyDescent="0.3">
      <c r="A17">
        <v>11</v>
      </c>
      <c r="B17">
        <v>71</v>
      </c>
    </row>
    <row r="18" spans="1:2" x14ac:dyDescent="0.3">
      <c r="A18">
        <v>16</v>
      </c>
      <c r="B18">
        <v>39</v>
      </c>
    </row>
    <row r="19" spans="1:2" x14ac:dyDescent="0.3">
      <c r="A19">
        <v>21</v>
      </c>
      <c r="B19">
        <v>38</v>
      </c>
    </row>
    <row r="20" spans="1:2" x14ac:dyDescent="0.3">
      <c r="A20">
        <v>26</v>
      </c>
      <c r="B20">
        <v>37</v>
      </c>
    </row>
    <row r="21" spans="1:2" x14ac:dyDescent="0.3">
      <c r="A21">
        <v>31</v>
      </c>
      <c r="B21">
        <v>27</v>
      </c>
    </row>
    <row r="22" spans="1:2" x14ac:dyDescent="0.3">
      <c r="A22">
        <v>36</v>
      </c>
      <c r="B22">
        <v>21</v>
      </c>
    </row>
    <row r="23" spans="1:2" x14ac:dyDescent="0.3">
      <c r="A23">
        <v>41</v>
      </c>
      <c r="B23">
        <v>13</v>
      </c>
    </row>
    <row r="24" spans="1:2" x14ac:dyDescent="0.3">
      <c r="A24">
        <v>46</v>
      </c>
      <c r="B24">
        <v>10</v>
      </c>
    </row>
    <row r="25" spans="1:2" x14ac:dyDescent="0.3">
      <c r="A25">
        <v>51</v>
      </c>
      <c r="B25">
        <v>9</v>
      </c>
    </row>
    <row r="26" spans="1:2" x14ac:dyDescent="0.3">
      <c r="A26">
        <v>56</v>
      </c>
      <c r="B26">
        <v>3</v>
      </c>
    </row>
    <row r="27" spans="1:2" x14ac:dyDescent="0.3">
      <c r="A27">
        <v>61</v>
      </c>
      <c r="B27">
        <v>3</v>
      </c>
    </row>
    <row r="28" spans="1:2" x14ac:dyDescent="0.3">
      <c r="A28">
        <v>66</v>
      </c>
      <c r="B28">
        <v>2</v>
      </c>
    </row>
    <row r="29" spans="1:2" x14ac:dyDescent="0.3">
      <c r="A29">
        <v>71</v>
      </c>
      <c r="B29">
        <v>0</v>
      </c>
    </row>
    <row r="30" spans="1:2" x14ac:dyDescent="0.3">
      <c r="A30">
        <v>76</v>
      </c>
      <c r="B30">
        <v>0</v>
      </c>
    </row>
    <row r="31" spans="1:2" x14ac:dyDescent="0.3">
      <c r="A31">
        <v>81</v>
      </c>
      <c r="B31">
        <v>0</v>
      </c>
    </row>
    <row r="32" spans="1:2" x14ac:dyDescent="0.3">
      <c r="A32">
        <v>86</v>
      </c>
      <c r="B32">
        <v>0</v>
      </c>
    </row>
    <row r="33" spans="1:2" x14ac:dyDescent="0.3">
      <c r="A33">
        <v>91</v>
      </c>
      <c r="B33">
        <v>0</v>
      </c>
    </row>
  </sheetData>
  <sortState xmlns:xlrd2="http://schemas.microsoft.com/office/spreadsheetml/2017/richdata2" ref="D1:D605">
    <sortCondition ref="D1:D60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</vt:lpstr>
      <vt:lpstr>Histogram Data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Muhammad Nadhir Fauzananto</cp:lastModifiedBy>
  <dcterms:created xsi:type="dcterms:W3CDTF">2013-10-29T18:00:12Z</dcterms:created>
  <dcterms:modified xsi:type="dcterms:W3CDTF">2022-02-14T19:52:35Z</dcterms:modified>
</cp:coreProperties>
</file>